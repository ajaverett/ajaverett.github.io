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4820\Downloads\"/>
    </mc:Choice>
  </mc:AlternateContent>
  <xr:revisionPtr revIDLastSave="0" documentId="8_{A04A2A87-904A-4E79-AA45-EB96781A04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E38" i="1" s="1"/>
  <c r="D37" i="1"/>
  <c r="E37" i="1" s="1"/>
  <c r="D36" i="1"/>
  <c r="E36" i="1" s="1"/>
  <c r="D35" i="1"/>
  <c r="E35" i="1" s="1"/>
  <c r="D34" i="1"/>
  <c r="E34" i="1" s="1"/>
  <c r="F12" i="1"/>
  <c r="F35" i="1" s="1"/>
  <c r="D20" i="1"/>
  <c r="E20" i="1" s="1"/>
  <c r="D19" i="1"/>
  <c r="E19" i="1" s="1"/>
  <c r="D18" i="1"/>
  <c r="E18" i="1" s="1"/>
  <c r="D16" i="1"/>
  <c r="E16" i="1" s="1"/>
  <c r="D17" i="1"/>
  <c r="E17" i="1" s="1"/>
  <c r="F37" i="1" l="1"/>
  <c r="F36" i="1"/>
  <c r="F34" i="1"/>
  <c r="F38" i="1"/>
  <c r="F17" i="1"/>
  <c r="F16" i="1"/>
  <c r="F18" i="1"/>
  <c r="F19" i="1"/>
  <c r="F20" i="1"/>
</calcChain>
</file>

<file path=xl/sharedStrings.xml><?xml version="1.0" encoding="utf-8"?>
<sst xmlns="http://schemas.openxmlformats.org/spreadsheetml/2006/main" count="68" uniqueCount="50">
  <si>
    <t>Discount Points</t>
  </si>
  <si>
    <t>Origination Fee</t>
  </si>
  <si>
    <t>30 year Rate</t>
  </si>
  <si>
    <t xml:space="preserve">Scenarios are based on the data below. All information is subject to verification and may change. </t>
  </si>
  <si>
    <t>Primary Home</t>
  </si>
  <si>
    <t>Estimated Fico</t>
  </si>
  <si>
    <t xml:space="preserve">A+ </t>
  </si>
  <si>
    <t>P&amp;I payment</t>
  </si>
  <si>
    <t>Total Interest over Life</t>
  </si>
  <si>
    <t>Loan to Value (LTV)</t>
  </si>
  <si>
    <t xml:space="preserve">1) All VA loans have a VA Funding Fee (VAFF) of 2.15% or 3.3%. If you receive VA disability income you may be eligible to have the VAFF waived. Per VA, if the veteran is considered 10% disabled or more, then the veteran should be exempt from the VAFF. This is determined by the VA.
</t>
  </si>
  <si>
    <t>Start Loan Amount</t>
  </si>
  <si>
    <t>Total Loan Amount</t>
  </si>
  <si>
    <t>Sales price/Value</t>
  </si>
  <si>
    <t>Down Payment</t>
  </si>
  <si>
    <t>County loan limit</t>
  </si>
  <si>
    <t>VAFF 1.5%</t>
  </si>
  <si>
    <t>Points/fee $</t>
  </si>
  <si>
    <t xml:space="preserve">2) If you put 5% down the VAFF will drop to 1.5%. If you put more than 10% down the VAFF will drop to 1.25%.             3) Also, please keep in mind that all Government loans are full documented, a termite report is always required on a VA loan. On new constructions, the builder has to be VA approved. Any condo projects have to be approved by VA otherwise we can not do the loan. 
</t>
  </si>
  <si>
    <t>VADM GROOMS</t>
  </si>
  <si>
    <t xml:space="preserve">Scearnio #1-A : VA 30 Years Purchase (Primary residence only) </t>
  </si>
  <si>
    <t>Maximum loan amount, paying 1.5% VAFF financed into the loan.</t>
  </si>
  <si>
    <t>P&amp;I payment (per month)</t>
  </si>
  <si>
    <t>Sales Price</t>
  </si>
  <si>
    <t>NFCU fees:</t>
  </si>
  <si>
    <t>* Discount/Origination fee: This is your choice, please see the fees on the table above.</t>
  </si>
  <si>
    <t>* Appraisal: $425.00</t>
  </si>
  <si>
    <t>* Credit report: $22.00</t>
  </si>
  <si>
    <t>* Tax set up fee/flood cert fee/miscellaneous: $70.00</t>
  </si>
  <si>
    <t>* Prepaid interest: the interest we collect from the day you close through the end of the month. No specific amount.</t>
  </si>
  <si>
    <t xml:space="preserve">* Escrow account: No specific amount, it is about 2-5 months of taxes and insurance, it depends when your taxes/insurance is due and the date you are closing. </t>
  </si>
  <si>
    <t>Based on a loan amount of $599,104 and sales price of $648,000.</t>
  </si>
  <si>
    <t>* VAFF Funding Fee: 1.5% of your start loan amount. You can pay it at closing or finance it into the loan.</t>
  </si>
  <si>
    <t>Title fees: $3,675</t>
  </si>
  <si>
    <t>Government fees: $4,267</t>
  </si>
  <si>
    <t>Total: $7,942</t>
  </si>
  <si>
    <t>Additional fees</t>
  </si>
  <si>
    <t xml:space="preserve">VA Funding Fee if applicable: All VA loans have a VAFF unless you are exempt. </t>
  </si>
  <si>
    <t>Reserves/Required Items by lender:</t>
  </si>
  <si>
    <t>* 1 year insurance premium</t>
  </si>
  <si>
    <t>Initial Rate</t>
  </si>
  <si>
    <t>Total Points</t>
  </si>
  <si>
    <t># of Pmts/yr</t>
  </si>
  <si>
    <t>Total Payments</t>
  </si>
  <si>
    <t>Loan Term (Years)</t>
  </si>
  <si>
    <t>Amortization for All Loan Scenarios:</t>
  </si>
  <si>
    <t>Rate</t>
  </si>
  <si>
    <t>Cost of Points:</t>
  </si>
  <si>
    <t>30yr Conforming</t>
  </si>
  <si>
    <t>Scenario #1_ HOME BUYERS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</si>
</sst>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0.000%"/>
    <numFmt numFmtId="167" formatCode="&quot;$&quot;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u/>
      <sz val="14"/>
      <color theme="3" tint="0.3999755851924192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0">
    <xf numFmtId="0" fontId="0" fillId="0" borderId="0" xfId="0"/>
    <xf numFmtId="164" fontId="0" fillId="0" borderId="0" xfId="1" applyNumberFormat="1" applyFont="1"/>
    <xf numFmtId="0" fontId="2" fillId="0" borderId="0" xfId="0" applyFont="1"/>
    <xf numFmtId="10" fontId="0" fillId="0" borderId="0" xfId="1" applyNumberFormat="1" applyFont="1"/>
    <xf numFmtId="0" fontId="2" fillId="2" borderId="0" xfId="0" applyFont="1" applyFill="1"/>
    <xf numFmtId="164" fontId="2" fillId="0" borderId="0" xfId="1" applyNumberFormat="1" applyFont="1" applyFill="1"/>
    <xf numFmtId="10" fontId="0" fillId="0" borderId="0" xfId="0" applyNumberFormat="1"/>
    <xf numFmtId="166" fontId="0" fillId="0" borderId="0" xfId="0" applyNumberFormat="1"/>
    <xf numFmtId="165" fontId="0" fillId="0" borderId="0" xfId="1" applyNumberFormat="1" applyFont="1"/>
    <xf numFmtId="0" fontId="3" fillId="0" borderId="0" xfId="0" applyFont="1" applyAlignment="1">
      <alignment horizontal="right"/>
    </xf>
    <xf numFmtId="10" fontId="3" fillId="0" borderId="0" xfId="1" applyNumberFormat="1" applyFont="1" applyFill="1"/>
    <xf numFmtId="167" fontId="3" fillId="0" borderId="0" xfId="2" applyNumberFormat="1" applyFont="1" applyAlignme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164" fontId="7" fillId="0" borderId="0" xfId="1" applyNumberFormat="1" applyFont="1"/>
    <xf numFmtId="10" fontId="3" fillId="0" borderId="0" xfId="2" applyNumberFormat="1" applyFont="1" applyAlignment="1">
      <alignment horizontal="right"/>
    </xf>
    <xf numFmtId="0" fontId="2" fillId="0" borderId="0" xfId="0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5" fillId="2" borderId="1" xfId="0" applyFont="1" applyFill="1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11" fillId="0" borderId="1" xfId="0" applyFont="1" applyBorder="1"/>
    <xf numFmtId="0" fontId="12" fillId="0" borderId="1" xfId="0" applyFont="1" applyBorder="1"/>
    <xf numFmtId="167" fontId="3" fillId="0" borderId="1" xfId="2" applyNumberFormat="1" applyFont="1" applyBorder="1" applyAlignment="1"/>
    <xf numFmtId="0" fontId="9" fillId="0" borderId="1" xfId="0" applyFont="1" applyBorder="1" applyAlignment="1">
      <alignment horizontal="left" vertical="center"/>
    </xf>
    <xf numFmtId="0" fontId="8" fillId="0" borderId="1" xfId="0" applyFont="1" applyBorder="1"/>
    <xf numFmtId="10" fontId="3" fillId="0" borderId="1" xfId="2" applyNumberFormat="1" applyFont="1" applyBorder="1" applyAlignment="1">
      <alignment horizontal="right"/>
    </xf>
    <xf numFmtId="10" fontId="9" fillId="0" borderId="1" xfId="1" applyNumberFormat="1" applyFont="1" applyFill="1" applyBorder="1" applyAlignment="1">
      <alignment horizontal="left" vertical="center"/>
    </xf>
    <xf numFmtId="0" fontId="9" fillId="0" borderId="1" xfId="0" applyFont="1" applyBorder="1"/>
    <xf numFmtId="10" fontId="3" fillId="0" borderId="1" xfId="1" applyNumberFormat="1" applyFont="1" applyFill="1" applyBorder="1"/>
    <xf numFmtId="164" fontId="2" fillId="0" borderId="1" xfId="1" applyNumberFormat="1" applyFont="1" applyFill="1" applyBorder="1"/>
    <xf numFmtId="0" fontId="2" fillId="0" borderId="1" xfId="0" applyFont="1" applyBorder="1" applyAlignment="1">
      <alignment horizontal="center"/>
    </xf>
    <xf numFmtId="166" fontId="0" fillId="0" borderId="1" xfId="0" applyNumberFormat="1" applyBorder="1"/>
    <xf numFmtId="10" fontId="0" fillId="0" borderId="1" xfId="0" applyNumberFormat="1" applyBorder="1"/>
    <xf numFmtId="10" fontId="0" fillId="0" borderId="1" xfId="1" applyNumberFormat="1" applyFont="1" applyBorder="1"/>
    <xf numFmtId="10" fontId="10" fillId="0" borderId="1" xfId="1" applyNumberFormat="1" applyFont="1" applyBorder="1"/>
    <xf numFmtId="165" fontId="10" fillId="0" borderId="1" xfId="1" applyNumberFormat="1" applyFont="1" applyBorder="1" applyAlignment="1">
      <alignment horizontal="center"/>
    </xf>
    <xf numFmtId="165" fontId="0" fillId="0" borderId="1" xfId="1" applyNumberFormat="1" applyFont="1" applyBorder="1"/>
    <xf numFmtId="0" fontId="3" fillId="0" borderId="1" xfId="0" applyFont="1" applyBorder="1" applyAlignment="1">
      <alignment horizontal="right"/>
    </xf>
    <xf numFmtId="167" fontId="10" fillId="0" borderId="1" xfId="2" applyNumberFormat="1" applyFont="1" applyBorder="1" applyAlignment="1"/>
    <xf numFmtId="165" fontId="10" fillId="0" borderId="1" xfId="1" applyNumberFormat="1" applyFont="1" applyBorder="1"/>
    <xf numFmtId="165" fontId="1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 vertical="top" wrapText="1"/>
    </xf>
    <xf numFmtId="0" fontId="4" fillId="3" borderId="0" xfId="0" applyFont="1" applyFill="1" applyAlignment="1">
      <alignment horizontal="center"/>
    </xf>
    <xf numFmtId="0" fontId="0" fillId="2" borderId="0" xfId="0" applyFill="1" applyAlignment="1">
      <alignment horizontal="left" vertical="top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8"/>
  <sheetViews>
    <sheetView tabSelected="1" zoomScaleNormal="100" workbookViewId="0">
      <selection activeCell="C43" sqref="C43"/>
    </sheetView>
  </sheetViews>
  <sheetFormatPr defaultRowHeight="15" x14ac:dyDescent="0.25"/>
  <cols>
    <col min="1" max="1" width="24.42578125" style="2" customWidth="1"/>
    <col min="2" max="2" width="14.85546875" bestFit="1" customWidth="1"/>
    <col min="3" max="3" width="16.28515625" style="1" bestFit="1" customWidth="1"/>
    <col min="4" max="4" width="16.28515625" style="1" customWidth="1"/>
    <col min="5" max="5" width="17.140625" customWidth="1"/>
    <col min="6" max="6" width="12.140625" customWidth="1"/>
    <col min="7" max="7" width="18.5703125" customWidth="1"/>
    <col min="8" max="8" width="23.5703125" customWidth="1"/>
  </cols>
  <sheetData>
    <row r="3" spans="1:7" ht="15.75" x14ac:dyDescent="0.25">
      <c r="A3" s="13" t="s">
        <v>3</v>
      </c>
      <c r="B3" s="14"/>
      <c r="C3" s="15"/>
      <c r="D3" s="15"/>
      <c r="E3" s="14"/>
      <c r="F3" s="14"/>
      <c r="G3" s="14"/>
    </row>
    <row r="4" spans="1:7" ht="18.75" x14ac:dyDescent="0.3">
      <c r="A4" s="48" t="s">
        <v>4</v>
      </c>
      <c r="B4" s="48"/>
      <c r="C4" s="48"/>
      <c r="D4" s="48"/>
      <c r="E4" s="48"/>
      <c r="F4" s="48"/>
      <c r="G4" s="48"/>
    </row>
    <row r="6" spans="1:7" ht="15.75" x14ac:dyDescent="0.25">
      <c r="A6" s="20" t="s">
        <v>49</v>
      </c>
      <c r="B6" s="21"/>
      <c r="C6" s="21"/>
      <c r="D6" s="21"/>
      <c r="E6" s="21"/>
      <c r="F6" s="21"/>
      <c r="G6" s="21"/>
    </row>
    <row r="7" spans="1:7" ht="15" customHeight="1" x14ac:dyDescent="0.25">
      <c r="A7" s="47"/>
      <c r="B7" s="47"/>
      <c r="C7" s="47"/>
      <c r="D7" s="47"/>
      <c r="E7" s="47"/>
      <c r="F7" s="47"/>
      <c r="G7" s="47"/>
    </row>
    <row r="8" spans="1:7" ht="15" customHeight="1" x14ac:dyDescent="0.25">
      <c r="A8" s="47"/>
      <c r="B8" s="47"/>
      <c r="C8" s="47"/>
      <c r="D8" s="47"/>
      <c r="E8" s="47"/>
      <c r="F8" s="47"/>
      <c r="G8" s="47"/>
    </row>
    <row r="9" spans="1:7" x14ac:dyDescent="0.25">
      <c r="A9" s="22"/>
      <c r="B9" s="23"/>
      <c r="C9" s="24"/>
      <c r="D9" s="24"/>
      <c r="E9" s="25" t="s">
        <v>45</v>
      </c>
      <c r="F9" s="26"/>
      <c r="G9" s="26"/>
    </row>
    <row r="10" spans="1:7" x14ac:dyDescent="0.25">
      <c r="A10" s="21" t="s">
        <v>13</v>
      </c>
      <c r="B10" s="27">
        <v>700000</v>
      </c>
      <c r="C10" s="21" t="s">
        <v>5</v>
      </c>
      <c r="D10" s="21"/>
      <c r="E10" s="28" t="s">
        <v>44</v>
      </c>
      <c r="F10" s="29">
        <v>30</v>
      </c>
      <c r="G10" s="23"/>
    </row>
    <row r="11" spans="1:7" x14ac:dyDescent="0.25">
      <c r="A11" s="21" t="s">
        <v>9</v>
      </c>
      <c r="B11" s="30">
        <v>0.91429000000000005</v>
      </c>
      <c r="C11" s="22"/>
      <c r="D11" s="22"/>
      <c r="E11" s="31" t="s">
        <v>42</v>
      </c>
      <c r="F11" s="32">
        <v>12</v>
      </c>
      <c r="G11" s="23"/>
    </row>
    <row r="12" spans="1:7" x14ac:dyDescent="0.25">
      <c r="A12" s="21" t="s">
        <v>12</v>
      </c>
      <c r="B12" s="27">
        <v>640000</v>
      </c>
      <c r="C12" s="22"/>
      <c r="D12" s="22"/>
      <c r="E12" s="31" t="s">
        <v>43</v>
      </c>
      <c r="F12" s="32">
        <f>F10*F11</f>
        <v>360</v>
      </c>
      <c r="G12" s="23"/>
    </row>
    <row r="13" spans="1:7" x14ac:dyDescent="0.25">
      <c r="A13" s="21" t="s">
        <v>14</v>
      </c>
      <c r="B13" s="27">
        <v>60000</v>
      </c>
      <c r="C13" s="22"/>
      <c r="D13" s="22"/>
      <c r="E13" s="33"/>
      <c r="F13" s="23"/>
      <c r="G13" s="23"/>
    </row>
    <row r="14" spans="1:7" x14ac:dyDescent="0.25">
      <c r="A14" s="22"/>
      <c r="B14" s="33"/>
      <c r="C14" s="22"/>
      <c r="D14" s="22"/>
      <c r="E14" s="33"/>
      <c r="F14" s="23"/>
      <c r="G14" s="23"/>
    </row>
    <row r="15" spans="1:7" x14ac:dyDescent="0.25">
      <c r="A15" s="22" t="s">
        <v>40</v>
      </c>
      <c r="B15" s="22" t="s">
        <v>0</v>
      </c>
      <c r="C15" s="34" t="s">
        <v>1</v>
      </c>
      <c r="D15" s="34" t="s">
        <v>41</v>
      </c>
      <c r="E15" s="35" t="s">
        <v>47</v>
      </c>
      <c r="F15" s="35" t="s">
        <v>7</v>
      </c>
      <c r="G15" s="22"/>
    </row>
    <row r="16" spans="1:7" x14ac:dyDescent="0.25">
      <c r="A16" s="36">
        <v>6.7500000000000004E-2</v>
      </c>
      <c r="B16" s="37">
        <v>0</v>
      </c>
      <c r="C16" s="38">
        <v>0</v>
      </c>
      <c r="D16" s="39">
        <f xml:space="preserve"> B16+C16</f>
        <v>0</v>
      </c>
      <c r="E16" s="40">
        <f>B12*D16</f>
        <v>0</v>
      </c>
      <c r="F16" s="40">
        <f>-PMT(A16/F11,F12,B12,0)</f>
        <v>4151.0278180365776</v>
      </c>
      <c r="G16" s="41"/>
    </row>
    <row r="17" spans="1:7" x14ac:dyDescent="0.25">
      <c r="A17" s="36">
        <v>6.6250000000000003E-2</v>
      </c>
      <c r="B17" s="37">
        <v>0</v>
      </c>
      <c r="C17" s="38">
        <v>5.0000000000000001E-3</v>
      </c>
      <c r="D17" s="39">
        <f>(C17+B17)</f>
        <v>5.0000000000000001E-3</v>
      </c>
      <c r="E17" s="40">
        <f>B12*D17</f>
        <v>3200</v>
      </c>
      <c r="F17" s="40">
        <f>-PMT(A17/F11,F12,B12,0)</f>
        <v>4097.9901508807725</v>
      </c>
      <c r="G17" s="41"/>
    </row>
    <row r="18" spans="1:7" x14ac:dyDescent="0.25">
      <c r="A18" s="36">
        <v>6.5000000000000002E-2</v>
      </c>
      <c r="B18" s="37">
        <v>0</v>
      </c>
      <c r="C18" s="38">
        <v>0.01</v>
      </c>
      <c r="D18" s="39">
        <f>B18+C18</f>
        <v>0.01</v>
      </c>
      <c r="E18" s="40">
        <f>B12*D18</f>
        <v>6400</v>
      </c>
      <c r="F18" s="40">
        <f>-PMT(A18/F11,F12,B12,0)</f>
        <v>4045.235350354968</v>
      </c>
      <c r="G18" s="41"/>
    </row>
    <row r="19" spans="1:7" x14ac:dyDescent="0.25">
      <c r="A19" s="36">
        <v>6.3750000000000001E-2</v>
      </c>
      <c r="B19" s="37">
        <v>5.0000000000000001E-3</v>
      </c>
      <c r="C19" s="38">
        <v>0.01</v>
      </c>
      <c r="D19" s="39">
        <f>B19+C19</f>
        <v>1.4999999999999999E-2</v>
      </c>
      <c r="E19" s="40">
        <f>B12*D19</f>
        <v>9600</v>
      </c>
      <c r="F19" s="40">
        <f>-PMT(A19/F11,F12,B12,0)</f>
        <v>3992.7673525065102</v>
      </c>
      <c r="G19" s="41"/>
    </row>
    <row r="20" spans="1:7" x14ac:dyDescent="0.25">
      <c r="A20" s="36">
        <v>6.1249999999999999E-2</v>
      </c>
      <c r="B20" s="36">
        <v>1.7500000000000002E-2</v>
      </c>
      <c r="C20" s="38">
        <v>0.01</v>
      </c>
      <c r="D20" s="39">
        <f>B20+C20</f>
        <v>2.7500000000000004E-2</v>
      </c>
      <c r="E20" s="40">
        <f>B12*D20</f>
        <v>17600.000000000004</v>
      </c>
      <c r="F20" s="40">
        <f>-PMT(A20/F11,F12,B12,0)</f>
        <v>3888.7074533164273</v>
      </c>
      <c r="G20" s="41"/>
    </row>
    <row r="24" spans="1:7" x14ac:dyDescent="0.25">
      <c r="E24" s="1"/>
    </row>
    <row r="26" spans="1:7" ht="15.75" x14ac:dyDescent="0.25">
      <c r="A26" s="20" t="s">
        <v>48</v>
      </c>
      <c r="B26" s="21"/>
      <c r="C26" s="21"/>
      <c r="D26" s="21"/>
      <c r="E26" s="21"/>
      <c r="F26" s="21"/>
      <c r="G26" s="21"/>
    </row>
    <row r="27" spans="1:7" x14ac:dyDescent="0.25">
      <c r="A27" s="22"/>
      <c r="B27" s="23"/>
      <c r="C27" s="24"/>
      <c r="D27" s="24"/>
      <c r="E27" s="24"/>
      <c r="F27" s="23"/>
      <c r="G27" s="23"/>
    </row>
    <row r="28" spans="1:7" x14ac:dyDescent="0.25">
      <c r="A28" s="21" t="s">
        <v>23</v>
      </c>
      <c r="B28" s="27">
        <v>700000</v>
      </c>
      <c r="C28" s="21" t="s">
        <v>5</v>
      </c>
      <c r="D28" s="21"/>
      <c r="E28" s="21"/>
      <c r="F28" s="42"/>
      <c r="G28" s="23"/>
    </row>
    <row r="29" spans="1:7" x14ac:dyDescent="0.25">
      <c r="A29" s="21" t="s">
        <v>9</v>
      </c>
      <c r="B29" s="30">
        <v>0.9143</v>
      </c>
      <c r="C29" s="22"/>
      <c r="D29" s="22"/>
      <c r="E29" s="22"/>
      <c r="F29" s="33"/>
      <c r="G29" s="23"/>
    </row>
    <row r="30" spans="1:7" x14ac:dyDescent="0.25">
      <c r="A30" s="21" t="s">
        <v>14</v>
      </c>
      <c r="B30" s="27">
        <v>60000</v>
      </c>
      <c r="C30" s="22"/>
      <c r="D30" s="22"/>
      <c r="E30" s="22"/>
      <c r="F30" s="33"/>
      <c r="G30" s="23"/>
    </row>
    <row r="31" spans="1:7" x14ac:dyDescent="0.25">
      <c r="A31" s="21" t="s">
        <v>12</v>
      </c>
      <c r="B31" s="43">
        <v>640000</v>
      </c>
      <c r="C31" s="22"/>
      <c r="D31" s="22"/>
      <c r="E31" s="33"/>
      <c r="F31" s="23"/>
      <c r="G31" s="23"/>
    </row>
    <row r="32" spans="1:7" x14ac:dyDescent="0.25">
      <c r="A32" s="22"/>
      <c r="B32" s="33"/>
      <c r="C32" s="22"/>
      <c r="D32" s="22"/>
      <c r="E32" s="22"/>
      <c r="F32" s="33"/>
      <c r="G32" s="23"/>
    </row>
    <row r="33" spans="1:8" x14ac:dyDescent="0.25">
      <c r="A33" s="22" t="s">
        <v>46</v>
      </c>
      <c r="B33" s="22" t="s">
        <v>0</v>
      </c>
      <c r="C33" s="34" t="s">
        <v>1</v>
      </c>
      <c r="D33" s="34" t="s">
        <v>41</v>
      </c>
      <c r="E33" s="34" t="s">
        <v>47</v>
      </c>
      <c r="F33" s="46" t="s">
        <v>22</v>
      </c>
      <c r="G33" s="46"/>
    </row>
    <row r="34" spans="1:8" x14ac:dyDescent="0.25">
      <c r="A34" s="36">
        <v>6.5000000000000002E-2</v>
      </c>
      <c r="B34" s="37">
        <v>0</v>
      </c>
      <c r="C34" s="38">
        <v>0</v>
      </c>
      <c r="D34" s="39">
        <f>B34+C34</f>
        <v>0</v>
      </c>
      <c r="E34" s="44">
        <f>B31*D34</f>
        <v>0</v>
      </c>
      <c r="F34" s="45">
        <f>-PMT(A34/F11,F12,B31,0)</f>
        <v>4045.235350354968</v>
      </c>
      <c r="G34" s="45"/>
    </row>
    <row r="35" spans="1:8" x14ac:dyDescent="0.25">
      <c r="A35" s="36">
        <v>6.3750000000000001E-2</v>
      </c>
      <c r="B35" s="37">
        <v>0</v>
      </c>
      <c r="C35" s="38">
        <v>5.0000000000000001E-3</v>
      </c>
      <c r="D35" s="39">
        <f>B35+C35</f>
        <v>5.0000000000000001E-3</v>
      </c>
      <c r="E35" s="44">
        <f>B31*D35</f>
        <v>3200</v>
      </c>
      <c r="F35" s="45">
        <f>-PMT(A35/F11,F12,B31,0)</f>
        <v>3992.7673525065102</v>
      </c>
      <c r="G35" s="45"/>
      <c r="H35" s="17"/>
    </row>
    <row r="36" spans="1:8" x14ac:dyDescent="0.25">
      <c r="A36" s="36">
        <v>6.25E-2</v>
      </c>
      <c r="B36" s="36">
        <v>0</v>
      </c>
      <c r="C36" s="38">
        <v>0.01</v>
      </c>
      <c r="D36" s="39">
        <f>B36+C36</f>
        <v>0.01</v>
      </c>
      <c r="E36" s="44">
        <f>B31*D36</f>
        <v>6400</v>
      </c>
      <c r="F36" s="45">
        <f>-PMT(A36/F11,F12,B31,0)</f>
        <v>3940.5900827289061</v>
      </c>
      <c r="G36" s="45"/>
      <c r="H36" s="19"/>
    </row>
    <row r="37" spans="1:8" x14ac:dyDescent="0.25">
      <c r="A37" s="36">
        <v>0.06</v>
      </c>
      <c r="B37" s="36">
        <v>7.4999999999999997E-3</v>
      </c>
      <c r="C37" s="38">
        <v>0.01</v>
      </c>
      <c r="D37" s="39">
        <f>B37+C37</f>
        <v>1.7500000000000002E-2</v>
      </c>
      <c r="E37" s="44">
        <f>B31*D37</f>
        <v>11200.000000000002</v>
      </c>
      <c r="F37" s="45">
        <f>-PMT(A37/F11,F12,B31,0)</f>
        <v>3837.1233609776145</v>
      </c>
      <c r="G37" s="45"/>
      <c r="H37" s="19"/>
    </row>
    <row r="38" spans="1:8" x14ac:dyDescent="0.25">
      <c r="A38" s="36">
        <v>5.8749999999999997E-2</v>
      </c>
      <c r="B38" s="36">
        <v>1.375E-2</v>
      </c>
      <c r="C38" s="38">
        <v>0.01</v>
      </c>
      <c r="D38" s="39">
        <f>B38+C38</f>
        <v>2.375E-2</v>
      </c>
      <c r="E38" s="44">
        <f>B31*D38</f>
        <v>15200</v>
      </c>
      <c r="F38" s="45">
        <f>-PMT(A38/F11,F12,B31,0)</f>
        <v>3785.8416843100313</v>
      </c>
      <c r="G38" s="45"/>
      <c r="H38" s="19"/>
    </row>
  </sheetData>
  <mergeCells count="9">
    <mergeCell ref="A4:G4"/>
    <mergeCell ref="A8:G8"/>
    <mergeCell ref="A7:G7"/>
    <mergeCell ref="F38:G38"/>
    <mergeCell ref="F33:G33"/>
    <mergeCell ref="F34:G34"/>
    <mergeCell ref="F35:G35"/>
    <mergeCell ref="F36:G36"/>
    <mergeCell ref="F37:G37"/>
  </mergeCells>
  <pageMargins left="0.7" right="0.7" top="0.75" bottom="0.75" header="0.3" footer="0.3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workbookViewId="0">
      <selection activeCell="E18" sqref="E18"/>
    </sheetView>
  </sheetViews>
  <sheetFormatPr defaultRowHeight="15" x14ac:dyDescent="0.25"/>
  <cols>
    <col min="1" max="1" width="20.85546875" customWidth="1"/>
    <col min="2" max="2" width="16.28515625" customWidth="1"/>
    <col min="3" max="3" width="16.42578125" customWidth="1"/>
    <col min="4" max="4" width="15.5703125" customWidth="1"/>
    <col min="5" max="5" width="12.7109375" customWidth="1"/>
    <col min="6" max="6" width="21.28515625" customWidth="1"/>
  </cols>
  <sheetData>
    <row r="1" spans="1:6" x14ac:dyDescent="0.25">
      <c r="A1" s="2" t="s">
        <v>19</v>
      </c>
      <c r="C1" s="1"/>
    </row>
    <row r="2" spans="1:6" x14ac:dyDescent="0.25">
      <c r="A2" s="2"/>
      <c r="C2" s="1"/>
    </row>
    <row r="3" spans="1:6" ht="15.75" x14ac:dyDescent="0.25">
      <c r="A3" s="13" t="s">
        <v>3</v>
      </c>
      <c r="B3" s="14"/>
      <c r="C3" s="15"/>
      <c r="D3" s="14"/>
      <c r="E3" s="14"/>
      <c r="F3" s="14"/>
    </row>
    <row r="4" spans="1:6" ht="18.75" x14ac:dyDescent="0.3">
      <c r="A4" s="48" t="s">
        <v>4</v>
      </c>
      <c r="B4" s="48"/>
      <c r="C4" s="48"/>
      <c r="D4" s="48"/>
      <c r="E4" s="48"/>
      <c r="F4" s="48"/>
    </row>
    <row r="5" spans="1:6" x14ac:dyDescent="0.25">
      <c r="A5" s="2"/>
      <c r="C5" s="1"/>
    </row>
    <row r="6" spans="1:6" ht="15.75" x14ac:dyDescent="0.25">
      <c r="A6" s="12" t="s">
        <v>20</v>
      </c>
      <c r="B6" s="4"/>
      <c r="C6" s="4"/>
      <c r="D6" s="4"/>
      <c r="E6" s="4"/>
      <c r="F6" s="4"/>
    </row>
    <row r="7" spans="1:6" x14ac:dyDescent="0.25">
      <c r="A7" s="2" t="s">
        <v>21</v>
      </c>
      <c r="C7" s="1"/>
    </row>
    <row r="8" spans="1:6" ht="15" customHeight="1" x14ac:dyDescent="0.25">
      <c r="A8" s="49" t="s">
        <v>10</v>
      </c>
      <c r="B8" s="49"/>
      <c r="C8" s="49"/>
      <c r="D8" s="49"/>
      <c r="E8" s="49"/>
      <c r="F8" s="49"/>
    </row>
    <row r="9" spans="1:6" x14ac:dyDescent="0.25">
      <c r="A9" s="49"/>
      <c r="B9" s="49"/>
      <c r="C9" s="49"/>
      <c r="D9" s="49"/>
      <c r="E9" s="49"/>
      <c r="F9" s="49"/>
    </row>
    <row r="10" spans="1:6" x14ac:dyDescent="0.25">
      <c r="A10" s="49"/>
      <c r="B10" s="49"/>
      <c r="C10" s="49"/>
      <c r="D10" s="49"/>
      <c r="E10" s="49"/>
      <c r="F10" s="49"/>
    </row>
    <row r="11" spans="1:6" ht="15" customHeight="1" x14ac:dyDescent="0.25">
      <c r="A11" s="49" t="s">
        <v>18</v>
      </c>
      <c r="B11" s="49"/>
      <c r="C11" s="49"/>
      <c r="D11" s="49"/>
      <c r="E11" s="49"/>
      <c r="F11" s="49"/>
    </row>
    <row r="12" spans="1:6" x14ac:dyDescent="0.25">
      <c r="A12" s="49"/>
      <c r="B12" s="49"/>
      <c r="C12" s="49"/>
      <c r="D12" s="49"/>
      <c r="E12" s="49"/>
      <c r="F12" s="49"/>
    </row>
    <row r="13" spans="1:6" x14ac:dyDescent="0.25">
      <c r="A13" s="49"/>
      <c r="B13" s="49"/>
      <c r="C13" s="49"/>
      <c r="D13" s="49"/>
      <c r="E13" s="49"/>
      <c r="F13" s="49"/>
    </row>
    <row r="14" spans="1:6" x14ac:dyDescent="0.25">
      <c r="A14" s="49"/>
      <c r="B14" s="49"/>
      <c r="C14" s="49"/>
      <c r="D14" s="49"/>
      <c r="E14" s="49"/>
      <c r="F14" s="49"/>
    </row>
    <row r="15" spans="1:6" x14ac:dyDescent="0.25">
      <c r="A15" s="2"/>
      <c r="C15" s="1"/>
    </row>
    <row r="16" spans="1:6" x14ac:dyDescent="0.25">
      <c r="A16" s="4" t="s">
        <v>13</v>
      </c>
      <c r="B16" s="11">
        <v>648000</v>
      </c>
      <c r="C16" s="4" t="s">
        <v>5</v>
      </c>
      <c r="D16" s="9" t="s">
        <v>6</v>
      </c>
    </row>
    <row r="17" spans="1:6" x14ac:dyDescent="0.25">
      <c r="A17" s="4" t="s">
        <v>15</v>
      </c>
      <c r="B17" s="11">
        <v>417000</v>
      </c>
      <c r="C17" s="4"/>
      <c r="D17" s="9"/>
    </row>
    <row r="18" spans="1:6" x14ac:dyDescent="0.25">
      <c r="A18" s="4" t="s">
        <v>9</v>
      </c>
      <c r="B18" s="16">
        <v>0.91080000000000005</v>
      </c>
      <c r="C18" s="2"/>
      <c r="D18" s="10"/>
    </row>
    <row r="19" spans="1:6" x14ac:dyDescent="0.25">
      <c r="A19" s="4" t="s">
        <v>11</v>
      </c>
      <c r="B19" s="11">
        <v>590250</v>
      </c>
      <c r="C19" s="2"/>
      <c r="D19" s="10"/>
    </row>
    <row r="20" spans="1:6" x14ac:dyDescent="0.25">
      <c r="A20" s="4" t="s">
        <v>16</v>
      </c>
      <c r="B20" s="11">
        <v>8853.75</v>
      </c>
      <c r="C20" s="2"/>
      <c r="D20" s="10"/>
    </row>
    <row r="21" spans="1:6" x14ac:dyDescent="0.25">
      <c r="A21" s="4" t="s">
        <v>12</v>
      </c>
      <c r="B21" s="11">
        <v>599103.75</v>
      </c>
      <c r="C21" s="2"/>
      <c r="D21" s="10"/>
    </row>
    <row r="22" spans="1:6" x14ac:dyDescent="0.25">
      <c r="A22" s="4" t="s">
        <v>14</v>
      </c>
      <c r="B22" s="11">
        <v>57750</v>
      </c>
      <c r="C22" s="2"/>
      <c r="D22" s="10"/>
    </row>
    <row r="23" spans="1:6" x14ac:dyDescent="0.25">
      <c r="A23" s="2"/>
      <c r="B23" s="10"/>
      <c r="C23" s="2"/>
      <c r="D23" s="10"/>
    </row>
    <row r="24" spans="1:6" x14ac:dyDescent="0.25">
      <c r="A24" s="2" t="s">
        <v>2</v>
      </c>
      <c r="B24" s="2" t="s">
        <v>0</v>
      </c>
      <c r="C24" s="5" t="s">
        <v>1</v>
      </c>
      <c r="D24" s="17" t="s">
        <v>17</v>
      </c>
      <c r="E24" s="17" t="s">
        <v>7</v>
      </c>
      <c r="F24" s="2" t="s">
        <v>8</v>
      </c>
    </row>
    <row r="25" spans="1:6" x14ac:dyDescent="0.25">
      <c r="A25" s="7">
        <v>3.7499999999999999E-2</v>
      </c>
      <c r="B25" s="6">
        <v>0</v>
      </c>
      <c r="C25" s="3">
        <v>0</v>
      </c>
      <c r="D25" s="18">
        <v>0</v>
      </c>
      <c r="E25" s="18">
        <v>2774.54</v>
      </c>
      <c r="F25" s="8">
        <v>399731.87</v>
      </c>
    </row>
    <row r="26" spans="1:6" x14ac:dyDescent="0.25">
      <c r="A26" s="7">
        <v>3.5000000000000003E-2</v>
      </c>
      <c r="B26" s="6">
        <v>0</v>
      </c>
      <c r="C26" s="3">
        <v>0.01</v>
      </c>
      <c r="D26" s="18">
        <v>5991.04</v>
      </c>
      <c r="E26" s="18">
        <v>2690.24</v>
      </c>
      <c r="F26" s="8">
        <v>369384.09</v>
      </c>
    </row>
    <row r="27" spans="1:6" x14ac:dyDescent="0.25">
      <c r="A27" s="7">
        <v>3.3750000000000002E-2</v>
      </c>
      <c r="B27" s="7">
        <v>5.0000000000000001E-3</v>
      </c>
      <c r="C27" s="3">
        <v>0.01</v>
      </c>
      <c r="D27" s="18">
        <v>8986.56</v>
      </c>
      <c r="E27" s="18">
        <v>2648.62</v>
      </c>
      <c r="F27" s="8">
        <v>354397.81</v>
      </c>
    </row>
    <row r="28" spans="1:6" x14ac:dyDescent="0.25">
      <c r="A28" s="2"/>
      <c r="C28" s="1"/>
    </row>
    <row r="29" spans="1:6" x14ac:dyDescent="0.25">
      <c r="A29" s="2" t="s">
        <v>24</v>
      </c>
    </row>
    <row r="30" spans="1:6" x14ac:dyDescent="0.25">
      <c r="A30" t="s">
        <v>26</v>
      </c>
    </row>
    <row r="31" spans="1:6" x14ac:dyDescent="0.25">
      <c r="A31" t="s">
        <v>27</v>
      </c>
    </row>
    <row r="32" spans="1:6" x14ac:dyDescent="0.25">
      <c r="A32" t="s">
        <v>28</v>
      </c>
    </row>
    <row r="33" spans="1:1" x14ac:dyDescent="0.25">
      <c r="A33" t="s">
        <v>25</v>
      </c>
    </row>
    <row r="35" spans="1:1" x14ac:dyDescent="0.25">
      <c r="A35" s="2" t="s">
        <v>37</v>
      </c>
    </row>
    <row r="36" spans="1:1" x14ac:dyDescent="0.25">
      <c r="A36" t="s">
        <v>32</v>
      </c>
    </row>
    <row r="38" spans="1:1" x14ac:dyDescent="0.25">
      <c r="A38" s="2" t="s">
        <v>38</v>
      </c>
    </row>
    <row r="39" spans="1:1" x14ac:dyDescent="0.25">
      <c r="A39" t="s">
        <v>29</v>
      </c>
    </row>
    <row r="40" spans="1:1" x14ac:dyDescent="0.25">
      <c r="A40" t="s">
        <v>30</v>
      </c>
    </row>
    <row r="41" spans="1:1" x14ac:dyDescent="0.25">
      <c r="A41" t="s">
        <v>39</v>
      </c>
    </row>
    <row r="43" spans="1:1" x14ac:dyDescent="0.25">
      <c r="A43" s="2" t="s">
        <v>36</v>
      </c>
    </row>
    <row r="44" spans="1:1" x14ac:dyDescent="0.25">
      <c r="A44" t="s">
        <v>31</v>
      </c>
    </row>
    <row r="45" spans="1:1" x14ac:dyDescent="0.25">
      <c r="A45" t="s">
        <v>33</v>
      </c>
    </row>
    <row r="46" spans="1:1" x14ac:dyDescent="0.25">
      <c r="A46" t="s">
        <v>34</v>
      </c>
    </row>
    <row r="47" spans="1:1" x14ac:dyDescent="0.25">
      <c r="A47" t="s">
        <v>35</v>
      </c>
    </row>
  </sheetData>
  <mergeCells count="3">
    <mergeCell ref="A4:F4"/>
    <mergeCell ref="A8:F10"/>
    <mergeCell ref="A11:F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Navy Federal Credit Union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30797</dc:creator>
  <cp:lastModifiedBy>Shannon E Gonzalez</cp:lastModifiedBy>
  <cp:lastPrinted>2012-10-02T14:57:30Z</cp:lastPrinted>
  <dcterms:created xsi:type="dcterms:W3CDTF">2012-09-28T18:34:31Z</dcterms:created>
  <dcterms:modified xsi:type="dcterms:W3CDTF">2025-11-19T22:40:43Z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